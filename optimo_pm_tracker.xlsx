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i val="1"/>
      <color rgb="00666666"/>
      <sz val="11"/>
    </font>
    <font>
      <name val="Arial"/>
      <b val="1"/>
      <sz val="11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E4D6F5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Optimo — Project Management Plan</t>
        </is>
      </c>
    </row>
    <row r="2">
      <c r="A2" s="2" t="inlineStr">
        <is>
          <t>Recipe Database Manager · Streamlit app · CA DIAT</t>
        </is>
      </c>
    </row>
    <row r="4">
      <c r="A4" s="3" t="inlineStr">
        <is>
          <t>Author</t>
        </is>
      </c>
      <c r="B4" s="4" t="inlineStr">
        <is>
          <t>Afagh Dashti (Data Analyst — CA analysis team)</t>
        </is>
      </c>
    </row>
    <row r="5">
      <c r="A5" s="3" t="inlineStr">
        <is>
          <t>Team</t>
        </is>
      </c>
      <c r="B5" s="4" t="inlineStr">
        <is>
          <t>CA DIAT + stakeholders (Menu Planning / POA / iPPA)</t>
        </is>
      </c>
    </row>
    <row r="6">
      <c r="A6" s="3" t="inlineStr">
        <is>
          <t>Repo</t>
        </is>
      </c>
      <c r="B6" s="4" t="inlineStr">
        <is>
          <t>~/Documents/GitHub/ca-datalit/webapp/staging/optimo/</t>
        </is>
      </c>
    </row>
    <row r="7">
      <c r="A7" s="3" t="inlineStr">
        <is>
          <t>Branch</t>
        </is>
      </c>
      <c r="B7" s="4" t="inlineStr">
        <is>
          <t>App/Staging/CDIA-2858/Optimo_Analytics_Tab_v2</t>
        </is>
      </c>
    </row>
    <row r="8">
      <c r="A8" s="3" t="inlineStr">
        <is>
          <t>Live tracker</t>
        </is>
      </c>
      <c r="B8" s="4" t="inlineStr">
        <is>
          <t>~/Claude/Projects/Optimo/optimo_pm_tracker.html (interactive Gantt)</t>
        </is>
      </c>
    </row>
    <row r="9">
      <c r="A9" s="3" t="inlineStr">
        <is>
          <t>Last updated</t>
        </is>
      </c>
      <c r="B9" s="4" t="inlineStr">
        <is>
          <t>2026-07-28</t>
        </is>
      </c>
    </row>
    <row r="11">
      <c r="A11" s="5" t="inlineStr">
        <is>
          <t>How to use this tracker</t>
        </is>
      </c>
    </row>
    <row r="12">
      <c r="A12" s="6" t="inlineStr">
        <is>
          <t>1. Tasks grouped by page/tab of Optimo. Within each group: Done → Pending Eng Review → In progress → Not started → Backlog.</t>
        </is>
      </c>
    </row>
    <row r="13">
      <c r="A13" s="6" t="inlineStr">
        <is>
          <t>2. Priority is High / Medium / Low. Status is Done / Pending Engineering Review / In progress / Not started / Backlog / Blocked / Cancelled — colour-coded.</t>
        </is>
      </c>
    </row>
    <row r="14">
      <c r="A14" s="6" t="inlineStr">
        <is>
          <t>3. Stakeholder = person who requested it. Category = one of 5 buckets used by the interactive Gantt (only for open work).</t>
        </is>
      </c>
    </row>
    <row r="15">
      <c r="A15" s="6" t="inlineStr">
        <is>
          <t>4. Start + Target dates drive the Gantt in the HTML tracker. Both required for a bar to appear.</t>
        </is>
      </c>
    </row>
    <row r="16">
      <c r="A16" s="6" t="inlineStr">
        <is>
          <t>5. Metrics sheet rolls up counts automatically.</t>
        </is>
      </c>
    </row>
    <row r="17">
      <c r="A17" s="6" t="inlineStr">
        <is>
          <t>6. Save as xlsx or upload to Google Sheets — filters and conditional formatting carry over.</t>
        </is>
      </c>
    </row>
    <row r="19">
      <c r="A19" s="5" t="inlineStr">
        <is>
          <t>Legend</t>
        </is>
      </c>
    </row>
    <row r="20">
      <c r="A20" s="3" t="inlineStr">
        <is>
          <t>Status</t>
        </is>
      </c>
      <c r="B20" s="6" t="inlineStr">
        <is>
          <t>Done · Pending Engineering Review · In progress · Not started · Backlog · Blocked · Cancelled</t>
        </is>
      </c>
    </row>
    <row r="21">
      <c r="A21" s="3" t="inlineStr">
        <is>
          <t>Priority</t>
        </is>
      </c>
      <c r="B21" s="6" t="inlineStr">
        <is>
          <t>High · Medium · Low</t>
        </is>
      </c>
    </row>
    <row r="22">
      <c r="A22" s="3" t="inlineStr">
        <is>
          <t>Pages</t>
        </is>
      </c>
      <c r="B22" s="6" t="inlineStr">
        <is>
          <t>Menu Analytics · Menu Validation · Menu Architecture · Recipe Pool · Data Validation · Infra / Deployment · Docs</t>
        </is>
      </c>
    </row>
    <row r="23">
      <c r="A23" s="3" t="inlineStr">
        <is>
          <t>Categories</t>
        </is>
      </c>
      <c r="B23" s="6" t="inlineStr">
        <is>
          <t>Data &amp; Logic Accuracy · New Filters &amp; Controls · New Views &amp; Information · Redesigns &amp; New Capabilities · Deployment &amp; Refactoring</t>
        </is>
      </c>
    </row>
    <row r="24">
      <c r="A24" s="3" t="inlineStr">
        <is>
          <t>Sources</t>
        </is>
      </c>
      <c r="B24" s="6" t="inlineStr">
        <is>
          <t>PR #1162 (merged) · PR #1173 (pending Eng review) · Feedback tracker · Jira tickets · Bigger-changes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6" customWidth="1" min="4" max="4"/>
    <col width="9" customWidth="1" min="5" max="5"/>
    <col width="70" customWidth="1" min="6" max="6"/>
  </cols>
  <sheetData>
    <row r="1">
      <c r="A1" s="7" t="inlineStr">
        <is>
          <t>Milestones &amp; category rollup</t>
        </is>
      </c>
    </row>
    <row r="2">
      <c r="A2" s="8" t="inlineStr">
        <is>
          <t>Shipped PRs first, then open-work categories. Task-level tracking is on the Tasks sheet.</t>
        </is>
      </c>
    </row>
    <row r="4">
      <c r="A4" s="9" t="inlineStr">
        <is>
          <t>Milestone / Category</t>
        </is>
      </c>
      <c r="B4" s="9" t="inlineStr">
        <is>
          <t>Start</t>
        </is>
      </c>
      <c r="C4" s="9" t="inlineStr">
        <is>
          <t>End</t>
        </is>
      </c>
      <c r="D4" s="9" t="inlineStr">
        <is>
          <t>Status</t>
        </is>
      </c>
      <c r="E4" s="9" t="inlineStr">
        <is>
          <t># tasks</t>
        </is>
      </c>
      <c r="F4" s="9" t="inlineStr">
        <is>
          <t>Description</t>
        </is>
      </c>
    </row>
    <row r="5">
      <c r="A5" s="10" t="inlineStr">
        <is>
          <t>Menu Analytics — CP + HF Final (PR #1173)</t>
        </is>
      </c>
      <c r="B5" s="11" t="inlineStr">
        <is>
          <t>2026-07-14</t>
        </is>
      </c>
      <c r="C5" s="11" t="inlineStr">
        <is>
          <t>2026-08-15</t>
        </is>
      </c>
      <c r="D5" s="11" t="inlineStr">
        <is>
          <t>Pending Engineering Review</t>
        </is>
      </c>
      <c r="E5" s="11" t="inlineStr"/>
      <c r="F5" s="11" t="inlineStr">
        <is>
          <t>Chef's Plate + HF Final menu, EDW backfill to 2024-W01, Tab 7 swap detection, New Recipes count fix + list.</t>
        </is>
      </c>
    </row>
    <row r="6">
      <c r="A6" s="10" t="inlineStr">
        <is>
          <t>Data &amp; Logic Accuracy</t>
        </is>
      </c>
      <c r="B6" s="11" t="inlineStr">
        <is>
          <t>2026-07-28</t>
        </is>
      </c>
      <c r="C6" s="11" t="inlineStr">
        <is>
          <t>2026-12-11</t>
        </is>
      </c>
      <c r="D6" s="11" t="inlineStr">
        <is>
          <t>Not started</t>
        </is>
      </c>
      <c r="E6" s="11" t="n">
        <v>7</v>
      </c>
      <c r="F6" s="11" t="inlineStr">
        <is>
          <t>MA-12, MA-14, MV-09, MAR-01, RP-01, RP-02, RP-03</t>
        </is>
      </c>
    </row>
    <row r="7">
      <c r="A7" s="10" t="inlineStr">
        <is>
          <t>New Filters &amp; Controls</t>
        </is>
      </c>
      <c r="B7" s="11" t="inlineStr">
        <is>
          <t>2026-08-20</t>
        </is>
      </c>
      <c r="C7" s="11" t="inlineStr">
        <is>
          <t>2026-11-12</t>
        </is>
      </c>
      <c r="D7" s="11" t="inlineStr">
        <is>
          <t>Not started</t>
        </is>
      </c>
      <c r="E7" s="11" t="n">
        <v>4</v>
      </c>
      <c r="F7" s="11" t="inlineStr">
        <is>
          <t>MA-11, MV-02, MV-03, MV-08</t>
        </is>
      </c>
    </row>
    <row r="8">
      <c r="A8" s="10" t="inlineStr">
        <is>
          <t>New Views &amp; Information</t>
        </is>
      </c>
      <c r="B8" s="11" t="inlineStr">
        <is>
          <t>2026-09-01</t>
        </is>
      </c>
      <c r="C8" s="11" t="inlineStr">
        <is>
          <t>2026-11-08</t>
        </is>
      </c>
      <c r="D8" s="11" t="inlineStr">
        <is>
          <t>Not started</t>
        </is>
      </c>
      <c r="E8" s="11" t="n">
        <v>4</v>
      </c>
      <c r="F8" s="11" t="inlineStr">
        <is>
          <t>MA-15, MA-16, MV-01, MV-05</t>
        </is>
      </c>
    </row>
    <row r="9">
      <c r="A9" s="10" t="inlineStr">
        <is>
          <t>Redesigns &amp; New Capabilities</t>
        </is>
      </c>
      <c r="B9" s="11" t="inlineStr">
        <is>
          <t>2026-09-05</t>
        </is>
      </c>
      <c r="C9" s="11" t="inlineStr">
        <is>
          <t>2027-02-21</t>
        </is>
      </c>
      <c r="D9" s="11" t="inlineStr">
        <is>
          <t>Not started</t>
        </is>
      </c>
      <c r="E9" s="11" t="n">
        <v>3</v>
      </c>
      <c r="F9" s="11" t="inlineStr">
        <is>
          <t>MA-17, MV-06, MV-07</t>
        </is>
      </c>
    </row>
    <row r="10">
      <c r="A10" s="10" t="inlineStr">
        <is>
          <t>Deployment &amp; Refactoring</t>
        </is>
      </c>
      <c r="B10" s="11" t="inlineStr">
        <is>
          <t>unscheduled</t>
        </is>
      </c>
      <c r="C10" s="11" t="inlineStr">
        <is>
          <t>unscheduled</t>
        </is>
      </c>
      <c r="D10" s="11" t="inlineStr">
        <is>
          <t>Not started</t>
        </is>
      </c>
      <c r="E10" s="11" t="n">
        <v>2</v>
      </c>
      <c r="F10" s="11" t="inlineStr">
        <is>
          <t>DV-01, INF-01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24" customWidth="1" min="4" max="4"/>
    <col width="20" customWidth="1" min="5" max="5"/>
    <col width="12" customWidth="1" min="6" max="6"/>
    <col width="12" customWidth="1" min="7" max="7"/>
    <col width="40" customWidth="1" min="8" max="8"/>
    <col width="26" customWidth="1" min="9" max="9"/>
  </cols>
  <sheetData>
    <row r="1">
      <c r="A1" s="7" t="inlineStr">
        <is>
          <t>Tasks</t>
        </is>
      </c>
    </row>
    <row r="2">
      <c r="A2" s="8" t="inlineStr">
        <is>
          <t>Grouped by Optimo page/tab. Done items first, then Pending Eng Review, In progress, Not started, Backlog.</t>
        </is>
      </c>
    </row>
    <row r="4">
      <c r="A4" s="9" t="inlineStr">
        <is>
          <t>ID</t>
        </is>
      </c>
      <c r="B4" s="9" t="inlineStr">
        <is>
          <t>Task</t>
        </is>
      </c>
      <c r="C4" s="9" t="inlineStr">
        <is>
          <t>Priority</t>
        </is>
      </c>
      <c r="D4" s="9" t="inlineStr">
        <is>
          <t>Status</t>
        </is>
      </c>
      <c r="E4" s="9" t="inlineStr">
        <is>
          <t>Stakeholder</t>
        </is>
      </c>
      <c r="F4" s="9" t="inlineStr">
        <is>
          <t>Start</t>
        </is>
      </c>
      <c r="G4" s="9" t="inlineStr">
        <is>
          <t>Target</t>
        </is>
      </c>
      <c r="H4" s="9" t="inlineStr">
        <is>
          <t>Notes</t>
        </is>
      </c>
      <c r="I4" s="9" t="inlineStr">
        <is>
          <t>Category</t>
        </is>
      </c>
    </row>
    <row r="5" ht="22" customHeight="1">
      <c r="A5" s="12" t="inlineStr">
        <is>
          <t>Menu Analytics</t>
        </is>
      </c>
    </row>
    <row r="6">
      <c r="A6" s="11" t="inlineStr">
        <is>
          <t>MA-01</t>
        </is>
      </c>
      <c r="B6" s="11" t="inlineStr">
        <is>
          <t>Build initial Menu Analytics page — tabs, charts, and sign-off scorecard; wire into Optimo staging navigation</t>
        </is>
      </c>
      <c r="C6" s="11" t="inlineStr">
        <is>
          <t>High</t>
        </is>
      </c>
      <c r="D6" s="11" t="inlineStr">
        <is>
          <t>Done</t>
        </is>
      </c>
      <c r="E6" s="11" t="inlineStr"/>
      <c r="F6" s="11" t="inlineStr"/>
      <c r="G6" s="11" t="inlineStr"/>
      <c r="H6" s="11" t="inlineStr">
        <is>
          <t>PR #1162 (merged)</t>
        </is>
      </c>
      <c r="I6" s="11" t="inlineStr"/>
    </row>
    <row r="7">
      <c r="A7" s="13" t="inlineStr">
        <is>
          <t>MA-02</t>
        </is>
      </c>
      <c r="B7" s="13" t="inlineStr">
        <is>
          <t>Add Photon/Snowflake SQL queries and data_fetcher helpers (demand, popularity, performance, seasonality, trend) to power RIS/RAR/AOR</t>
        </is>
      </c>
      <c r="C7" s="13" t="inlineStr">
        <is>
          <t>High</t>
        </is>
      </c>
      <c r="D7" s="13" t="inlineStr">
        <is>
          <t>Done</t>
        </is>
      </c>
      <c r="E7" s="13" t="inlineStr"/>
      <c r="F7" s="13" t="inlineStr"/>
      <c r="G7" s="13" t="inlineStr"/>
      <c r="H7" s="13" t="inlineStr">
        <is>
          <t>PR #1162 (merged)</t>
        </is>
      </c>
      <c r="I7" s="13" t="inlineStr"/>
    </row>
    <row r="8">
      <c r="A8" s="11" t="inlineStr">
        <is>
          <t>MA-03</t>
        </is>
      </c>
      <c r="B8" s="11" t="inlineStr">
        <is>
          <t>Author DASHBOARD_MANUAL.md (metric lineage documentation)</t>
        </is>
      </c>
      <c r="C8" s="11" t="inlineStr">
        <is>
          <t>Medium</t>
        </is>
      </c>
      <c r="D8" s="11" t="inlineStr">
        <is>
          <t>Done</t>
        </is>
      </c>
      <c r="E8" s="11" t="inlineStr"/>
      <c r="F8" s="11" t="inlineStr"/>
      <c r="G8" s="11" t="inlineStr"/>
      <c r="H8" s="11" t="inlineStr">
        <is>
          <t>PR #1162 (merged)</t>
        </is>
      </c>
      <c r="I8" s="11" t="inlineStr"/>
    </row>
    <row r="9">
      <c r="A9" s="13" t="inlineStr">
        <is>
          <t>MA-04</t>
        </is>
      </c>
      <c r="B9" s="13" t="inlineStr">
        <is>
          <t>Add page-specific styling (analytics_style.css)</t>
        </is>
      </c>
      <c r="C9" s="13" t="inlineStr">
        <is>
          <t>Low</t>
        </is>
      </c>
      <c r="D9" s="13" t="inlineStr">
        <is>
          <t>Done</t>
        </is>
      </c>
      <c r="E9" s="13" t="inlineStr"/>
      <c r="F9" s="13" t="inlineStr"/>
      <c r="G9" s="13" t="inlineStr"/>
      <c r="H9" s="13" t="inlineStr">
        <is>
          <t>PR #1162 (merged)</t>
        </is>
      </c>
      <c r="I9" s="13" t="inlineStr"/>
    </row>
    <row r="10">
      <c r="A10" s="11" t="inlineStr">
        <is>
          <t>MA-13</t>
        </is>
      </c>
      <c r="B10" s="11" t="inlineStr">
        <is>
          <t>Review New Recipe logic — count was displaying values in the 20s</t>
        </is>
      </c>
      <c r="C10" s="11" t="inlineStr">
        <is>
          <t>Low</t>
        </is>
      </c>
      <c r="D10" s="11" t="inlineStr">
        <is>
          <t>Done</t>
        </is>
      </c>
      <c r="E10" s="11" t="inlineStr">
        <is>
          <t>Emma Szalai</t>
        </is>
      </c>
      <c r="F10" s="11" t="inlineStr"/>
      <c r="G10" s="11" t="inlineStr"/>
      <c r="H10" s="11" t="inlineStr">
        <is>
          <t>Feedback tracker. Fixed as part of PR #1173.</t>
        </is>
      </c>
      <c r="I10" s="11" t="inlineStr"/>
    </row>
    <row r="11">
      <c r="A11" s="13" t="inlineStr">
        <is>
          <t>MA-05</t>
        </is>
      </c>
      <c r="B11" s="13" t="inlineStr">
        <is>
          <t>Add Chef's Plate final menu to Menu Analytics page</t>
        </is>
      </c>
      <c r="C11" s="13" t="inlineStr">
        <is>
          <t>High</t>
        </is>
      </c>
      <c r="D11" s="13" t="inlineStr">
        <is>
          <t>Pending Engineering Review</t>
        </is>
      </c>
      <c r="E11" s="13" t="inlineStr">
        <is>
          <t>Karren</t>
        </is>
      </c>
      <c r="F11" s="13" t="inlineStr"/>
      <c r="G11" s="13" t="inlineStr"/>
      <c r="H11" s="13" t="inlineStr">
        <is>
          <t>PR #1173</t>
        </is>
      </c>
      <c r="I11" s="13" t="inlineStr"/>
    </row>
    <row r="12">
      <c r="A12" s="11" t="inlineStr">
        <is>
          <t>MA-06</t>
        </is>
      </c>
      <c r="B12" s="11" t="inlineStr">
        <is>
          <t>Add HelloFresh Final menu to Menu Analytics page</t>
        </is>
      </c>
      <c r="C12" s="11" t="inlineStr">
        <is>
          <t>High</t>
        </is>
      </c>
      <c r="D12" s="11" t="inlineStr">
        <is>
          <t>Pending Engineering Review</t>
        </is>
      </c>
      <c r="E12" s="11" t="inlineStr">
        <is>
          <t>Linnea</t>
        </is>
      </c>
      <c r="F12" s="11" t="inlineStr"/>
      <c r="G12" s="11" t="inlineStr"/>
      <c r="H12" s="11" t="inlineStr">
        <is>
          <t>PR #1173</t>
        </is>
      </c>
      <c r="I12" s="11" t="inlineStr"/>
    </row>
    <row r="13">
      <c r="A13" s="13" t="inlineStr">
        <is>
          <t>MA-07</t>
        </is>
      </c>
      <c r="B13" s="13" t="inlineStr">
        <is>
          <t>Backfill EDW final-menu data to 2024-W01</t>
        </is>
      </c>
      <c r="C13" s="13" t="inlineStr">
        <is>
          <t>Medium</t>
        </is>
      </c>
      <c r="D13" s="13" t="inlineStr">
        <is>
          <t>Pending Engineering Review</t>
        </is>
      </c>
      <c r="E13" s="13" t="inlineStr">
        <is>
          <t>Linnea</t>
        </is>
      </c>
      <c r="F13" s="13" t="inlineStr"/>
      <c r="G13" s="13" t="inlineStr"/>
      <c r="H13" s="13" t="inlineStr">
        <is>
          <t>PR #1173</t>
        </is>
      </c>
      <c r="I13" s="13" t="inlineStr"/>
    </row>
    <row r="14">
      <c r="A14" s="11" t="inlineStr">
        <is>
          <t>MA-08</t>
        </is>
      </c>
      <c r="B14" s="11" t="inlineStr">
        <is>
          <t>Tab 7 — add GAMP ↔ Final swap detection</t>
        </is>
      </c>
      <c r="C14" s="11" t="inlineStr">
        <is>
          <t>Medium</t>
        </is>
      </c>
      <c r="D14" s="11" t="inlineStr">
        <is>
          <t>Pending Engineering Review</t>
        </is>
      </c>
      <c r="E14" s="11" t="inlineStr">
        <is>
          <t>Emma</t>
        </is>
      </c>
      <c r="F14" s="11" t="inlineStr"/>
      <c r="G14" s="11" t="inlineStr"/>
      <c r="H14" s="11" t="inlineStr">
        <is>
          <t>PR #1173</t>
        </is>
      </c>
      <c r="I14" s="11" t="inlineStr"/>
    </row>
    <row r="15">
      <c r="A15" s="13" t="inlineStr">
        <is>
          <t>MA-09</t>
        </is>
      </c>
      <c r="B15" s="13" t="inlineStr">
        <is>
          <t>Composition tab — fix New Recipe count for GAMP and Final versions</t>
        </is>
      </c>
      <c r="C15" s="13" t="inlineStr">
        <is>
          <t>Medium</t>
        </is>
      </c>
      <c r="D15" s="13" t="inlineStr">
        <is>
          <t>Pending Engineering Review</t>
        </is>
      </c>
      <c r="E15" s="13" t="inlineStr"/>
      <c r="F15" s="13" t="inlineStr"/>
      <c r="G15" s="13" t="inlineStr"/>
      <c r="H15" s="13" t="inlineStr">
        <is>
          <t>PR #1173</t>
        </is>
      </c>
      <c r="I15" s="13" t="inlineStr"/>
    </row>
    <row r="16">
      <c r="A16" s="11" t="inlineStr">
        <is>
          <t>MA-10</t>
        </is>
      </c>
      <c r="B16" s="11" t="inlineStr">
        <is>
          <t>Composition tab — add New Recipes list</t>
        </is>
      </c>
      <c r="C16" s="11" t="inlineStr">
        <is>
          <t>Medium</t>
        </is>
      </c>
      <c r="D16" s="11" t="inlineStr">
        <is>
          <t>Pending Engineering Review</t>
        </is>
      </c>
      <c r="E16" s="11" t="inlineStr">
        <is>
          <t>Emma</t>
        </is>
      </c>
      <c r="F16" s="11" t="inlineStr"/>
      <c r="G16" s="11" t="inlineStr"/>
      <c r="H16" s="11" t="inlineStr">
        <is>
          <t>PR #1173</t>
        </is>
      </c>
      <c r="I16" s="11" t="inlineStr"/>
    </row>
    <row r="17">
      <c r="A17" s="13" t="inlineStr">
        <is>
          <t>MA-11</t>
        </is>
      </c>
      <c r="B17" s="13" t="inlineStr">
        <is>
          <t>Add Recipe Type filter (surcharge, core, etc.) to Menu Analytics</t>
        </is>
      </c>
      <c r="C17" s="13" t="inlineStr">
        <is>
          <t>High</t>
        </is>
      </c>
      <c r="D17" s="13" t="inlineStr">
        <is>
          <t>Not started</t>
        </is>
      </c>
      <c r="E17" s="13" t="inlineStr">
        <is>
          <t>Linnea</t>
        </is>
      </c>
      <c r="F17" s="13" t="inlineStr">
        <is>
          <t>2026-08-20</t>
        </is>
      </c>
      <c r="G17" s="13" t="inlineStr">
        <is>
          <t>2026-08-25</t>
        </is>
      </c>
      <c r="H17" s="13" t="inlineStr">
        <is>
          <t>Jira ticket. Discuss with Irene.</t>
        </is>
      </c>
      <c r="I17" s="13" t="inlineStr">
        <is>
          <t>New Filters &amp; Controls</t>
        </is>
      </c>
    </row>
    <row r="18">
      <c r="A18" s="11" t="inlineStr">
        <is>
          <t>MA-12</t>
        </is>
      </c>
      <c r="B18" s="11" t="inlineStr">
        <is>
          <t>Investigate preference-value source in codebase and correct the Preference filter values</t>
        </is>
      </c>
      <c r="C18" s="11" t="inlineStr">
        <is>
          <t>High</t>
        </is>
      </c>
      <c r="D18" s="11" t="inlineStr">
        <is>
          <t>Not started</t>
        </is>
      </c>
      <c r="E18" s="11" t="inlineStr"/>
      <c r="F18" s="11" t="inlineStr">
        <is>
          <t>2026-10-17</t>
        </is>
      </c>
      <c r="G18" s="11" t="inlineStr">
        <is>
          <t>2026-10-25</t>
        </is>
      </c>
      <c r="H18" s="11" t="inlineStr">
        <is>
          <t>Jira ticket. Companion to MAR-01.</t>
        </is>
      </c>
      <c r="I18" s="11" t="inlineStr">
        <is>
          <t>Data &amp; Logic Accuracy</t>
        </is>
      </c>
    </row>
    <row r="19">
      <c r="A19" s="13" t="inlineStr">
        <is>
          <t>MA-14</t>
        </is>
      </c>
      <c r="B19" s="13" t="inlineStr">
        <is>
          <t>Update low-score threshold (move from 4-point rating to 5) after confirming target with Tim G.</t>
        </is>
      </c>
      <c r="C19" s="13" t="inlineStr">
        <is>
          <t>Low</t>
        </is>
      </c>
      <c r="D19" s="13" t="inlineStr">
        <is>
          <t>Not started</t>
        </is>
      </c>
      <c r="E19" s="13" t="inlineStr">
        <is>
          <t>Emma Szalai</t>
        </is>
      </c>
      <c r="F19" s="13" t="inlineStr">
        <is>
          <t>2026-08-26</t>
        </is>
      </c>
      <c r="G19" s="13" t="inlineStr">
        <is>
          <t>2026-08-31</t>
        </is>
      </c>
      <c r="H19" s="13" t="inlineStr">
        <is>
          <t>Feedback tracker — dependency: confirm new threshold with Timothy Guo</t>
        </is>
      </c>
      <c r="I19" s="13" t="inlineStr">
        <is>
          <t>Data &amp; Logic Accuracy</t>
        </is>
      </c>
    </row>
    <row r="20">
      <c r="A20" s="11" t="inlineStr">
        <is>
          <t>MA-15</t>
        </is>
      </c>
      <c r="B20" s="11" t="inlineStr">
        <is>
          <t>Expose recipe titles inline alongside Menu Analytics charts (gut-check titles from the protein mix and other charts)</t>
        </is>
      </c>
      <c r="C20" s="11" t="inlineStr">
        <is>
          <t>Low</t>
        </is>
      </c>
      <c r="D20" s="11" t="inlineStr">
        <is>
          <t>Not started</t>
        </is>
      </c>
      <c r="E20" s="11" t="inlineStr">
        <is>
          <t>Emma Szalai</t>
        </is>
      </c>
      <c r="F20" s="11" t="inlineStr">
        <is>
          <t>2026-10-13</t>
        </is>
      </c>
      <c r="G20" s="11" t="inlineStr">
        <is>
          <t>2026-10-16</t>
        </is>
      </c>
      <c r="H20" s="11" t="inlineStr">
        <is>
          <t>Feedback tracker</t>
        </is>
      </c>
      <c r="I20" s="11" t="inlineStr">
        <is>
          <t>New Views &amp; Information</t>
        </is>
      </c>
    </row>
    <row r="21">
      <c r="A21" s="13" t="inlineStr">
        <is>
          <t>MA-16</t>
        </is>
      </c>
      <c r="B21" s="13" t="inlineStr">
        <is>
          <t>Protein mix chart — break out into specific protein cuts within groups (e.g. sub-buckets under Chicken)</t>
        </is>
      </c>
      <c r="C21" s="13" t="inlineStr">
        <is>
          <t>Medium</t>
        </is>
      </c>
      <c r="D21" s="13" t="inlineStr">
        <is>
          <t>Not started</t>
        </is>
      </c>
      <c r="E21" s="13" t="inlineStr">
        <is>
          <t>Emma Szalai</t>
        </is>
      </c>
      <c r="F21" s="13" t="inlineStr">
        <is>
          <t>2026-09-01</t>
        </is>
      </c>
      <c r="G21" s="13" t="inlineStr">
        <is>
          <t>2026-09-04</t>
        </is>
      </c>
      <c r="H21" s="13" t="inlineStr">
        <is>
          <t>Feedback tracker</t>
        </is>
      </c>
      <c r="I21" s="13" t="inlineStr">
        <is>
          <t>New Views &amp; Information</t>
        </is>
      </c>
    </row>
    <row r="22">
      <c r="A22" s="11" t="inlineStr">
        <is>
          <t>MA-17</t>
        </is>
      </c>
      <c r="B22" s="11" t="inlineStr">
        <is>
          <t>AI-based recommendations for Recipe Swaps and Menu Optimisation</t>
        </is>
      </c>
      <c r="C22" s="11" t="inlineStr">
        <is>
          <t>Medium</t>
        </is>
      </c>
      <c r="D22" s="11" t="inlineStr">
        <is>
          <t>Backlog</t>
        </is>
      </c>
      <c r="E22" s="11" t="inlineStr"/>
      <c r="F22" s="11" t="inlineStr">
        <is>
          <t>2026-12-12</t>
        </is>
      </c>
      <c r="G22" s="11" t="inlineStr">
        <is>
          <t>2027-02-21</t>
        </is>
      </c>
      <c r="H22" s="11" t="inlineStr">
        <is>
          <t>Bigger change</t>
        </is>
      </c>
      <c r="I22" s="11" t="inlineStr">
        <is>
          <t>Redesigns &amp; New Capabilities</t>
        </is>
      </c>
    </row>
    <row r="23" ht="22" customHeight="1">
      <c r="A23" s="12" t="inlineStr">
        <is>
          <t>Menu Validation</t>
        </is>
      </c>
    </row>
    <row r="24">
      <c r="A24" s="11" t="inlineStr">
        <is>
          <t>MV-04</t>
        </is>
      </c>
      <c r="B24" s="11" t="inlineStr">
        <is>
          <t>Final Menu — surface the most-up-to-date version (pull from MPS directly, not just initial GAMP upload)</t>
        </is>
      </c>
      <c r="C24" s="11" t="inlineStr">
        <is>
          <t>High</t>
        </is>
      </c>
      <c r="D24" s="11" t="inlineStr">
        <is>
          <t>Done</t>
        </is>
      </c>
      <c r="E24" s="11" t="inlineStr">
        <is>
          <t>Emma Szalai</t>
        </is>
      </c>
      <c r="F24" s="11" t="inlineStr"/>
      <c r="G24" s="11" t="inlineStr"/>
      <c r="H24" s="11" t="inlineStr">
        <is>
          <t>Feedback tracker. Landed with the PR #1173 Final-menu integration.</t>
        </is>
      </c>
      <c r="I24" s="11" t="inlineStr"/>
    </row>
    <row r="25">
      <c r="A25" s="13" t="inlineStr">
        <is>
          <t>MV-01</t>
        </is>
      </c>
      <c r="B25" s="13" t="inlineStr">
        <is>
          <t>Menu Review — Ineligible Recipes should display protein / preference / tag assignments, with an in-tab way to update them</t>
        </is>
      </c>
      <c r="C25" s="13" t="inlineStr">
        <is>
          <t>Medium</t>
        </is>
      </c>
      <c r="D25" s="13" t="inlineStr">
        <is>
          <t>Not started</t>
        </is>
      </c>
      <c r="E25" s="13" t="inlineStr">
        <is>
          <t>Emma Szalai</t>
        </is>
      </c>
      <c r="F25" s="13" t="inlineStr">
        <is>
          <t>2026-10-26</t>
        </is>
      </c>
      <c r="G25" s="13" t="inlineStr">
        <is>
          <t>2026-11-08</t>
        </is>
      </c>
      <c r="H25" s="13" t="inlineStr">
        <is>
          <t>Feedback tracker</t>
        </is>
      </c>
      <c r="I25" s="13" t="inlineStr">
        <is>
          <t>New Views &amp; Information</t>
        </is>
      </c>
    </row>
    <row r="26">
      <c r="A26" s="11" t="inlineStr">
        <is>
          <t>MV-02</t>
        </is>
      </c>
      <c r="B26" s="11" t="inlineStr">
        <is>
          <t>Recipe Shortlist — add a way to filter recipes within a swap (currently a 2000+ list; workaround is ctrl-F)</t>
        </is>
      </c>
      <c r="C26" s="11" t="inlineStr">
        <is>
          <t>Medium</t>
        </is>
      </c>
      <c r="D26" s="11" t="inlineStr">
        <is>
          <t>Not started</t>
        </is>
      </c>
      <c r="E26" s="11" t="inlineStr">
        <is>
          <t>Emma Szalai</t>
        </is>
      </c>
      <c r="F26" s="11" t="inlineStr">
        <is>
          <t>2026-09-23</t>
        </is>
      </c>
      <c r="G26" s="11" t="inlineStr">
        <is>
          <t>2026-09-30</t>
        </is>
      </c>
      <c r="H26" s="11" t="inlineStr">
        <is>
          <t>Feedback tracker</t>
        </is>
      </c>
      <c r="I26" s="11" t="inlineStr">
        <is>
          <t>New Filters &amp; Controls</t>
        </is>
      </c>
    </row>
    <row r="27">
      <c r="A27" s="13" t="inlineStr">
        <is>
          <t>MV-03</t>
        </is>
      </c>
      <c r="B27" s="13" t="inlineStr">
        <is>
          <t>Final Menu view — make it filterable by slot architecture (currently only slot-number search)</t>
        </is>
      </c>
      <c r="C27" s="13" t="inlineStr">
        <is>
          <t>Medium</t>
        </is>
      </c>
      <c r="D27" s="13" t="inlineStr">
        <is>
          <t>Not started</t>
        </is>
      </c>
      <c r="E27" s="13" t="inlineStr">
        <is>
          <t>Emma Szalai</t>
        </is>
      </c>
      <c r="F27" s="13" t="inlineStr">
        <is>
          <t>2026-10-05</t>
        </is>
      </c>
      <c r="G27" s="13" t="inlineStr">
        <is>
          <t>2026-10-12</t>
        </is>
      </c>
      <c r="H27" s="13" t="inlineStr">
        <is>
          <t>Feedback tracker</t>
        </is>
      </c>
      <c r="I27" s="13" t="inlineStr">
        <is>
          <t>New Filters &amp; Controls</t>
        </is>
      </c>
    </row>
    <row r="28">
      <c r="A28" s="11" t="inlineStr">
        <is>
          <t>MV-05</t>
        </is>
      </c>
      <c r="B28" s="11" t="inlineStr">
        <is>
          <t>Menu Review — add a summary dashboard inside the tab</t>
        </is>
      </c>
      <c r="C28" s="11" t="inlineStr">
        <is>
          <t>Medium</t>
        </is>
      </c>
      <c r="D28" s="11" t="inlineStr">
        <is>
          <t>Not started</t>
        </is>
      </c>
      <c r="E28" s="11" t="inlineStr"/>
      <c r="F28" s="11" t="inlineStr">
        <is>
          <t>2026-10-01</t>
        </is>
      </c>
      <c r="G28" s="11" t="inlineStr">
        <is>
          <t>2026-10-04</t>
        </is>
      </c>
      <c r="H28" s="11" t="inlineStr">
        <is>
          <t>Bigger change</t>
        </is>
      </c>
      <c r="I28" s="11" t="inlineStr">
        <is>
          <t>New Views &amp; Information</t>
        </is>
      </c>
    </row>
    <row r="29">
      <c r="A29" s="13" t="inlineStr">
        <is>
          <t>MV-06</t>
        </is>
      </c>
      <c r="B29" s="13" t="inlineStr">
        <is>
          <t>Redesign the Swap function in Optimo</t>
        </is>
      </c>
      <c r="C29" s="13" t="inlineStr">
        <is>
          <t>High</t>
        </is>
      </c>
      <c r="D29" s="13" t="inlineStr">
        <is>
          <t>Not started</t>
        </is>
      </c>
      <c r="E29" s="13" t="inlineStr"/>
      <c r="F29" s="13" t="inlineStr">
        <is>
          <t>2026-09-05</t>
        </is>
      </c>
      <c r="G29" s="13" t="inlineStr">
        <is>
          <t>2026-09-13</t>
        </is>
      </c>
      <c r="H29" s="13" t="inlineStr">
        <is>
          <t>Bigger change — pair with MV-07</t>
        </is>
      </c>
      <c r="I29" s="13" t="inlineStr">
        <is>
          <t>Redesigns &amp; New Capabilities</t>
        </is>
      </c>
    </row>
    <row r="30">
      <c r="A30" s="11" t="inlineStr">
        <is>
          <t>MV-07</t>
        </is>
      </c>
      <c r="B30" s="11" t="inlineStr">
        <is>
          <t>Implement the new design for Swap</t>
        </is>
      </c>
      <c r="C30" s="11" t="inlineStr">
        <is>
          <t>High</t>
        </is>
      </c>
      <c r="D30" s="11" t="inlineStr">
        <is>
          <t>Not started</t>
        </is>
      </c>
      <c r="E30" s="11" t="inlineStr"/>
      <c r="F30" s="11" t="inlineStr">
        <is>
          <t>2026-09-14</t>
        </is>
      </c>
      <c r="G30" s="11" t="inlineStr">
        <is>
          <t>2026-09-22</t>
        </is>
      </c>
      <c r="H30" s="11" t="inlineStr">
        <is>
          <t>Bigger change — follows MV-06</t>
        </is>
      </c>
      <c r="I30" s="11" t="inlineStr">
        <is>
          <t>Redesigns &amp; New Capabilities</t>
        </is>
      </c>
    </row>
    <row r="31">
      <c r="A31" s="13" t="inlineStr">
        <is>
          <t>MV-08</t>
        </is>
      </c>
      <c r="B31" s="13" t="inlineStr">
        <is>
          <t>Menu Upload — searchable columns not bound by the strict uploading-menu rule</t>
        </is>
      </c>
      <c r="C31" s="13" t="inlineStr">
        <is>
          <t>Medium</t>
        </is>
      </c>
      <c r="D31" s="13" t="inlineStr">
        <is>
          <t>Not started</t>
        </is>
      </c>
      <c r="E31" s="13" t="inlineStr">
        <is>
          <t>Timothy Guo</t>
        </is>
      </c>
      <c r="F31" s="13" t="inlineStr">
        <is>
          <t>2026-11-09</t>
        </is>
      </c>
      <c r="G31" s="13" t="inlineStr">
        <is>
          <t>2026-11-12</t>
        </is>
      </c>
      <c r="H31" s="13" t="inlineStr">
        <is>
          <t>Feedback tracker — current workaround: manually adjust the column</t>
        </is>
      </c>
      <c r="I31" s="13" t="inlineStr">
        <is>
          <t>New Filters &amp; Controls</t>
        </is>
      </c>
    </row>
    <row r="32">
      <c r="A32" s="11" t="inlineStr">
        <is>
          <t>MV-09</t>
        </is>
      </c>
      <c r="B32" s="11" t="inlineStr">
        <is>
          <t>Funnel GAMP constraints into Optimo so Menu Analytics can show easy sign-off checks (e.g. balanced meals hit 20%)</t>
        </is>
      </c>
      <c r="C32" s="11" t="inlineStr">
        <is>
          <t>High</t>
        </is>
      </c>
      <c r="D32" s="11" t="inlineStr">
        <is>
          <t>Not started</t>
        </is>
      </c>
      <c r="E32" s="11" t="inlineStr">
        <is>
          <t>Emma Szalai</t>
        </is>
      </c>
      <c r="F32" s="11" t="inlineStr">
        <is>
          <t>2026-11-13</t>
        </is>
      </c>
      <c r="G32" s="11" t="inlineStr">
        <is>
          <t>2026-12-11</t>
        </is>
      </c>
      <c r="H32" s="11" t="inlineStr">
        <is>
          <t>Feedback tracker — replaces ad-hoc menu sign-off checks. Includes investigation + scoping.</t>
        </is>
      </c>
      <c r="I32" s="11" t="inlineStr">
        <is>
          <t>Data &amp; Logic Accuracy</t>
        </is>
      </c>
    </row>
    <row r="33" ht="22" customHeight="1">
      <c r="A33" s="12" t="inlineStr">
        <is>
          <t>Menu Architecture</t>
        </is>
      </c>
    </row>
    <row r="34">
      <c r="A34" s="11" t="inlineStr">
        <is>
          <t>MAR-01</t>
        </is>
      </c>
      <c r="B34" s="11" t="inlineStr">
        <is>
          <t>Correct preference values in Menu Architecture to match personalization values</t>
        </is>
      </c>
      <c r="C34" s="11" t="inlineStr">
        <is>
          <t>High</t>
        </is>
      </c>
      <c r="D34" s="11" t="inlineStr">
        <is>
          <t>Not started</t>
        </is>
      </c>
      <c r="E34" s="11" t="inlineStr"/>
      <c r="F34" s="11" t="inlineStr">
        <is>
          <t>2026-07-28</t>
        </is>
      </c>
      <c r="G34" s="11" t="inlineStr">
        <is>
          <t>2026-08-05</t>
        </is>
      </c>
      <c r="H34" s="11" t="inlineStr">
        <is>
          <t>Bigger change. Companion to MA-12.</t>
        </is>
      </c>
      <c r="I34" s="11" t="inlineStr">
        <is>
          <t>Data &amp; Logic Accuracy</t>
        </is>
      </c>
    </row>
    <row r="35" ht="22" customHeight="1">
      <c r="A35" s="12" t="inlineStr">
        <is>
          <t>Recipe Pool</t>
        </is>
      </c>
    </row>
    <row r="36">
      <c r="A36" s="11" t="inlineStr">
        <is>
          <t>RP-01</t>
        </is>
      </c>
      <c r="B36" s="11" t="inlineStr">
        <is>
          <t>Correct Total_Time column in Recipe Pool</t>
        </is>
      </c>
      <c r="C36" s="11" t="inlineStr">
        <is>
          <t>Medium</t>
        </is>
      </c>
      <c r="D36" s="11" t="inlineStr">
        <is>
          <t>Not started</t>
        </is>
      </c>
      <c r="E36" s="11" t="inlineStr">
        <is>
          <t>Irene</t>
        </is>
      </c>
      <c r="F36" s="11" t="inlineStr">
        <is>
          <t>2026-08-06</t>
        </is>
      </c>
      <c r="G36" s="11" t="inlineStr">
        <is>
          <t>2026-08-09</t>
        </is>
      </c>
      <c r="H36" s="11" t="inlineStr">
        <is>
          <t>Jira: Recipe_Pool_Table_Optimisation</t>
        </is>
      </c>
      <c r="I36" s="11" t="inlineStr">
        <is>
          <t>Data &amp; Logic Accuracy</t>
        </is>
      </c>
    </row>
    <row r="37">
      <c r="A37" s="13" t="inlineStr">
        <is>
          <t>RP-02</t>
        </is>
      </c>
      <c r="B37" s="13" t="inlineStr">
        <is>
          <t>Correct Cost2p column after revising it in Recipe Pool</t>
        </is>
      </c>
      <c r="C37" s="13" t="inlineStr">
        <is>
          <t>Medium</t>
        </is>
      </c>
      <c r="D37" s="13" t="inlineStr">
        <is>
          <t>Not started</t>
        </is>
      </c>
      <c r="E37" s="13" t="inlineStr">
        <is>
          <t>Irene</t>
        </is>
      </c>
      <c r="F37" s="13" t="inlineStr">
        <is>
          <t>2026-08-10</t>
        </is>
      </c>
      <c r="G37" s="13" t="inlineStr">
        <is>
          <t>2026-08-13</t>
        </is>
      </c>
      <c r="H37" s="13" t="inlineStr">
        <is>
          <t>Jira: Recipe_Pool_Table_Optimisation</t>
        </is>
      </c>
      <c r="I37" s="13" t="inlineStr">
        <is>
          <t>Data &amp; Logic Accuracy</t>
        </is>
      </c>
    </row>
    <row r="38">
      <c r="A38" s="11" t="inlineStr">
        <is>
          <t>RP-03</t>
        </is>
      </c>
      <c r="B38" s="11" t="inlineStr">
        <is>
          <t>Optimize recipe_pool_master_enriched query</t>
        </is>
      </c>
      <c r="C38" s="11" t="inlineStr">
        <is>
          <t>Medium</t>
        </is>
      </c>
      <c r="D38" s="11" t="inlineStr">
        <is>
          <t>Not started</t>
        </is>
      </c>
      <c r="E38" s="11" t="inlineStr"/>
      <c r="F38" s="11" t="inlineStr">
        <is>
          <t>2026-08-14</t>
        </is>
      </c>
      <c r="G38" s="11" t="inlineStr">
        <is>
          <t>2026-08-19</t>
        </is>
      </c>
      <c r="H38" s="11" t="inlineStr">
        <is>
          <t>Query/pipeline optimization — foundation for downstream Recipe Pool work</t>
        </is>
      </c>
      <c r="I38" s="11" t="inlineStr">
        <is>
          <t>Data &amp; Logic Accuracy</t>
        </is>
      </c>
    </row>
    <row r="39" ht="22" customHeight="1">
      <c r="A39" s="12" t="inlineStr">
        <is>
          <t>Data Validation</t>
        </is>
      </c>
    </row>
    <row r="40">
      <c r="A40" s="11" t="inlineStr">
        <is>
          <t>DV-01</t>
        </is>
      </c>
      <c r="B40" s="11" t="inlineStr">
        <is>
          <t>Remove the Data Validation tab or fold its code into another page</t>
        </is>
      </c>
      <c r="C40" s="11" t="inlineStr">
        <is>
          <t>Medium</t>
        </is>
      </c>
      <c r="D40" s="11" t="inlineStr">
        <is>
          <t>Not started</t>
        </is>
      </c>
      <c r="E40" s="11" t="inlineStr"/>
      <c r="F40" s="11" t="inlineStr"/>
      <c r="G40" s="11" t="inlineStr"/>
      <c r="H40" s="11" t="inlineStr">
        <is>
          <t>Bigger change — decision needed</t>
        </is>
      </c>
      <c r="I40" s="11" t="inlineStr">
        <is>
          <t>Deployment &amp; Refactoring</t>
        </is>
      </c>
    </row>
    <row r="41" ht="22" customHeight="1">
      <c r="A41" s="12" t="inlineStr">
        <is>
          <t>Infra / Deployment</t>
        </is>
      </c>
    </row>
    <row r="42">
      <c r="A42" s="11" t="inlineStr">
        <is>
          <t>INF-01</t>
        </is>
      </c>
      <c r="B42" s="11" t="inlineStr">
        <is>
          <t>Discuss and agree on the process for pushing updates from Optimo Staging to Optimo Live</t>
        </is>
      </c>
      <c r="C42" s="11" t="inlineStr">
        <is>
          <t>High</t>
        </is>
      </c>
      <c r="D42" s="11" t="inlineStr">
        <is>
          <t>Not started</t>
        </is>
      </c>
      <c r="E42" s="11" t="inlineStr"/>
      <c r="F42" s="11" t="inlineStr"/>
      <c r="G42" s="11" t="inlineStr"/>
      <c r="H42" s="11" t="inlineStr">
        <is>
          <t>Bigger change — release process. TBD pending decision.</t>
        </is>
      </c>
      <c r="I42" s="11" t="inlineStr">
        <is>
          <t>Deployment &amp; Refactoring</t>
        </is>
      </c>
    </row>
  </sheetData>
  <mergeCells count="6">
    <mergeCell ref="A41:I41"/>
    <mergeCell ref="A33:I33"/>
    <mergeCell ref="A5:I5"/>
    <mergeCell ref="A23:I23"/>
    <mergeCell ref="A39:I39"/>
    <mergeCell ref="A35:I35"/>
  </mergeCells>
  <conditionalFormatting sqref="D5:D42">
    <cfRule type="cellIs" priority="1" operator="equal" dxfId="0">
      <formula>"Done"</formula>
    </cfRule>
    <cfRule type="cellIs" priority="2" operator="equal" dxfId="1">
      <formula>"Pending Engineering Review"</formula>
    </cfRule>
    <cfRule type="cellIs" priority="3" operator="equal" dxfId="2">
      <formula>"Blocked"</formula>
    </cfRule>
    <cfRule type="cellIs" priority="4" operator="equal" dxfId="3">
      <formula>"In progress"</formula>
    </cfRule>
    <cfRule type="cellIs" priority="5" operator="equal" dxfId="4">
      <formula>"Backlog"</formula>
    </cfRule>
    <cfRule type="cellIs" priority="6" operator="equal" dxfId="5">
      <formula>"Not started"</formula>
    </cfRule>
  </conditionalFormatting>
  <conditionalFormatting sqref="C5:C42">
    <cfRule type="cellIs" priority="7" operator="equal" dxfId="2">
      <formula>"High"</formula>
    </cfRule>
    <cfRule type="cellIs" priority="8" operator="equal" dxfId="3">
      <formula>"Medium"</formula>
    </cfRule>
    <cfRule type="cellIs" priority="9" operator="equal" dxfId="4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Status rollups</t>
        </is>
      </c>
    </row>
    <row r="2">
      <c r="A2" s="8" t="inlineStr">
        <is>
          <t>Computed live from the Tasks sheet — do not edit.</t>
        </is>
      </c>
    </row>
    <row r="4">
      <c r="A4" s="5" t="inlineStr">
        <is>
          <t>By status</t>
        </is>
      </c>
    </row>
    <row r="5">
      <c r="A5" s="9" t="inlineStr">
        <is>
          <t>Status</t>
        </is>
      </c>
      <c r="B5" s="9" t="inlineStr">
        <is>
          <t>Count</t>
        </is>
      </c>
    </row>
    <row r="6">
      <c r="A6" s="14" t="inlineStr">
        <is>
          <t>Done</t>
        </is>
      </c>
      <c r="B6" s="14">
        <f>COUNTIF(Tasks!$D$5:$D$42,$A6)</f>
        <v/>
      </c>
    </row>
    <row r="7">
      <c r="A7" s="14" t="inlineStr">
        <is>
          <t>Pending Engineering Review</t>
        </is>
      </c>
      <c r="B7" s="14">
        <f>COUNTIF(Tasks!$D$5:$D$42,$A7)</f>
        <v/>
      </c>
    </row>
    <row r="8">
      <c r="A8" s="14" t="inlineStr">
        <is>
          <t>In progress</t>
        </is>
      </c>
      <c r="B8" s="14">
        <f>COUNTIF(Tasks!$D$5:$D$42,$A8)</f>
        <v/>
      </c>
    </row>
    <row r="9">
      <c r="A9" s="14" t="inlineStr">
        <is>
          <t>Not started</t>
        </is>
      </c>
      <c r="B9" s="14">
        <f>COUNTIF(Tasks!$D$5:$D$42,$A9)</f>
        <v/>
      </c>
    </row>
    <row r="10">
      <c r="A10" s="14" t="inlineStr">
        <is>
          <t>Backlog</t>
        </is>
      </c>
      <c r="B10" s="14">
        <f>COUNTIF(Tasks!$D$5:$D$42,$A10)</f>
        <v/>
      </c>
    </row>
    <row r="11">
      <c r="A11" s="14" t="inlineStr">
        <is>
          <t>Blocked</t>
        </is>
      </c>
      <c r="B11" s="14">
        <f>COUNTIF(Tasks!$D$5:$D$42,$A11)</f>
        <v/>
      </c>
    </row>
    <row r="12">
      <c r="A12" s="14" t="inlineStr">
        <is>
          <t>Cancelled</t>
        </is>
      </c>
      <c r="B12" s="14">
        <f>COUNTIF(Tasks!$D$5:$D$42,$A12)</f>
        <v/>
      </c>
    </row>
    <row r="14">
      <c r="A14" s="5" t="inlineStr">
        <is>
          <t>By page</t>
        </is>
      </c>
    </row>
    <row r="15">
      <c r="A15" s="9" t="inlineStr">
        <is>
          <t>Page</t>
        </is>
      </c>
      <c r="B15" s="9" t="inlineStr">
        <is>
          <t>Total</t>
        </is>
      </c>
      <c r="C15" s="9" t="inlineStr">
        <is>
          <t>Done</t>
        </is>
      </c>
      <c r="D15" s="9" t="inlineStr">
        <is>
          <t>Pending Eng</t>
        </is>
      </c>
      <c r="E15" s="9" t="inlineStr">
        <is>
          <t>In progress</t>
        </is>
      </c>
      <c r="F15" s="9" t="inlineStr">
        <is>
          <t>Not started</t>
        </is>
      </c>
    </row>
    <row r="16">
      <c r="A16" s="14" t="inlineStr">
        <is>
          <t>Menu Analytics</t>
        </is>
      </c>
      <c r="B16" s="14" t="n">
        <v>17</v>
      </c>
      <c r="C16" s="14" t="n">
        <v>5</v>
      </c>
      <c r="D16" s="14" t="n">
        <v>6</v>
      </c>
      <c r="E16" s="14" t="n">
        <v>0</v>
      </c>
      <c r="F16" s="14" t="n">
        <v>5</v>
      </c>
    </row>
    <row r="17">
      <c r="A17" s="14" t="inlineStr">
        <is>
          <t>Menu Validation</t>
        </is>
      </c>
      <c r="B17" s="14" t="n">
        <v>9</v>
      </c>
      <c r="C17" s="14" t="n">
        <v>1</v>
      </c>
      <c r="D17" s="14" t="n">
        <v>0</v>
      </c>
      <c r="E17" s="14" t="n">
        <v>0</v>
      </c>
      <c r="F17" s="14" t="n">
        <v>8</v>
      </c>
    </row>
    <row r="18">
      <c r="A18" s="14" t="inlineStr">
        <is>
          <t>Menu Architecture</t>
        </is>
      </c>
      <c r="B18" s="14" t="n">
        <v>1</v>
      </c>
      <c r="C18" s="14" t="n">
        <v>0</v>
      </c>
      <c r="D18" s="14" t="n">
        <v>0</v>
      </c>
      <c r="E18" s="14" t="n">
        <v>0</v>
      </c>
      <c r="F18" s="14" t="n">
        <v>1</v>
      </c>
    </row>
    <row r="19">
      <c r="A19" s="14" t="inlineStr">
        <is>
          <t>Recipe Pool</t>
        </is>
      </c>
      <c r="B19" s="14" t="n">
        <v>3</v>
      </c>
      <c r="C19" s="14" t="n">
        <v>0</v>
      </c>
      <c r="D19" s="14" t="n">
        <v>0</v>
      </c>
      <c r="E19" s="14" t="n">
        <v>0</v>
      </c>
      <c r="F19" s="14" t="n">
        <v>3</v>
      </c>
    </row>
    <row r="20">
      <c r="A20" s="14" t="inlineStr">
        <is>
          <t>Data Validation</t>
        </is>
      </c>
      <c r="B20" s="14" t="n">
        <v>1</v>
      </c>
      <c r="C20" s="14" t="n">
        <v>0</v>
      </c>
      <c r="D20" s="14" t="n">
        <v>0</v>
      </c>
      <c r="E20" s="14" t="n">
        <v>0</v>
      </c>
      <c r="F20" s="14" t="n">
        <v>1</v>
      </c>
    </row>
    <row r="21">
      <c r="A21" s="14" t="inlineStr">
        <is>
          <t>Infra / Deployment</t>
        </is>
      </c>
      <c r="B21" s="14" t="n">
        <v>1</v>
      </c>
      <c r="C21" s="14" t="n">
        <v>0</v>
      </c>
      <c r="D21" s="14" t="n">
        <v>0</v>
      </c>
      <c r="E21" s="14" t="n">
        <v>0</v>
      </c>
      <c r="F21" s="14" t="n">
        <v>1</v>
      </c>
    </row>
    <row r="23">
      <c r="A23" s="5" t="inlineStr">
        <is>
          <t>By priority</t>
        </is>
      </c>
    </row>
    <row r="24">
      <c r="A24" s="9" t="inlineStr">
        <is>
          <t>Priority</t>
        </is>
      </c>
      <c r="B24" s="9" t="inlineStr">
        <is>
          <t>Total</t>
        </is>
      </c>
    </row>
    <row r="25">
      <c r="A25" s="14" t="inlineStr">
        <is>
          <t>High</t>
        </is>
      </c>
      <c r="B25" s="14">
        <f>COUNTIF(Tasks!$C$5:$C$42,$A25)</f>
        <v/>
      </c>
    </row>
    <row r="26">
      <c r="A26" s="14" t="inlineStr">
        <is>
          <t>Medium</t>
        </is>
      </c>
      <c r="B26" s="14">
        <f>COUNTIF(Tasks!$C$5:$C$42,$A26)</f>
        <v/>
      </c>
    </row>
    <row r="27">
      <c r="A27" s="14" t="inlineStr">
        <is>
          <t>Low</t>
        </is>
      </c>
      <c r="B27" s="14">
        <f>COUNTIF(Tasks!$C$5:$C$42,$A27)</f>
        <v/>
      </c>
    </row>
    <row r="29">
      <c r="A29" s="5" t="inlineStr">
        <is>
          <t>By category</t>
        </is>
      </c>
    </row>
    <row r="30">
      <c r="A30" s="9" t="inlineStr">
        <is>
          <t>Category</t>
        </is>
      </c>
      <c r="B30" s="9" t="inlineStr">
        <is>
          <t>Total</t>
        </is>
      </c>
    </row>
    <row r="31">
      <c r="A31" s="14" t="inlineStr">
        <is>
          <t>Data &amp; Logic Accuracy</t>
        </is>
      </c>
      <c r="B31" s="14">
        <f>COUNTIF(Tasks!$I$5:$I$42,$A31)</f>
        <v/>
      </c>
    </row>
    <row r="32">
      <c r="A32" s="14" t="inlineStr">
        <is>
          <t>New Filters &amp; Controls</t>
        </is>
      </c>
      <c r="B32" s="14">
        <f>COUNTIF(Tasks!$I$5:$I$42,$A32)</f>
        <v/>
      </c>
    </row>
    <row r="33">
      <c r="A33" s="14" t="inlineStr">
        <is>
          <t>New Views &amp; Information</t>
        </is>
      </c>
      <c r="B33" s="14">
        <f>COUNTIF(Tasks!$I$5:$I$42,$A33)</f>
        <v/>
      </c>
    </row>
    <row r="34">
      <c r="A34" s="14" t="inlineStr">
        <is>
          <t>Redesigns &amp; New Capabilities</t>
        </is>
      </c>
      <c r="B34" s="14">
        <f>COUNTIF(Tasks!$I$5:$I$42,$A34)</f>
        <v/>
      </c>
    </row>
    <row r="35">
      <c r="A35" s="14" t="inlineStr">
        <is>
          <t>Deployment &amp; Refactoring</t>
        </is>
      </c>
      <c r="B35" s="14">
        <f>COUNTIF(Tasks!$I$5:$I$42,$A35)</f>
        <v/>
      </c>
    </row>
    <row r="37">
      <c r="A37" s="5" t="inlineStr">
        <is>
          <t>Totals</t>
        </is>
      </c>
    </row>
    <row r="38">
      <c r="A38" s="3" t="inlineStr">
        <is>
          <t>Total tasks</t>
        </is>
      </c>
      <c r="B38" s="4" t="n">
        <v>32</v>
      </c>
    </row>
    <row r="39">
      <c r="A39" s="3" t="inlineStr">
        <is>
          <t>% done</t>
        </is>
      </c>
      <c r="B39" s="15">
        <f>COUNTIF(Tasks!$D$5:$D$42,"Done")/32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2026-07-28T22:44:32Z</dcterms:created>
  <dcterms:modified xmlns:dcterms="http://purl.org/dc/terms/" xmlns:xsi="http://www.w3.org/2001/XMLSchema-instance" xsi:type="dcterms:W3CDTF">2026-07-28T22:44:32Z</dcterms:modified>
</cp:coreProperties>
</file>